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5fee6cdf5cbf43/Desktop/avyay/claude/Buck PWM Controller/results/data/"/>
    </mc:Choice>
  </mc:AlternateContent>
  <xr:revisionPtr revIDLastSave="497" documentId="8_{967E63ED-2AE4-4999-A206-7A5D8186D58E}" xr6:coauthVersionLast="47" xr6:coauthVersionMax="47" xr10:uidLastSave="{FF932F91-CD93-44D4-A4F0-1AAE1756E3FC}"/>
  <bookViews>
    <workbookView xWindow="-110" yWindow="-110" windowWidth="25820" windowHeight="15500" xr2:uid="{1EDA51C6-A47F-4BE3-9D6F-F89AC0157535}"/>
  </bookViews>
  <sheets>
    <sheet name="Verilog and Yosys" sheetId="1" r:id="rId1"/>
    <sheet name="LTsp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E3" i="2"/>
  <c r="E4" i="2"/>
  <c r="E5" i="2"/>
  <c r="E2" i="2"/>
</calcChain>
</file>

<file path=xl/sharedStrings.xml><?xml version="1.0" encoding="utf-8"?>
<sst xmlns="http://schemas.openxmlformats.org/spreadsheetml/2006/main" count="33" uniqueCount="29">
  <si>
    <t xml:space="preserve">Cells </t>
  </si>
  <si>
    <t>requirements</t>
  </si>
  <si>
    <t>No</t>
  </si>
  <si>
    <t>Yes</t>
  </si>
  <si>
    <t>Width (bits)</t>
  </si>
  <si>
    <t>Step (mV)</t>
  </si>
  <si>
    <t>Switching frequency (kHz)</t>
  </si>
  <si>
    <t>(Step / 2)</t>
  </si>
  <si>
    <t>(Vin / 2^Width)</t>
  </si>
  <si>
    <t>Yosys analysis</t>
  </si>
  <si>
    <t>Vin = 12V</t>
  </si>
  <si>
    <t>(clock speed / 2^Width)</t>
  </si>
  <si>
    <t>Clock Speed = 100Mhz</t>
  </si>
  <si>
    <t>how many time it will oscillate due to the width</t>
  </si>
  <si>
    <t>amount between each sample</t>
  </si>
  <si>
    <t>An ideal switching frequency should be good enough to transfer enough, so &gt;= 100kHz</t>
  </si>
  <si>
    <t>Worst-case Error (mV)</t>
  </si>
  <si>
    <t>We are aiming for accuracy, so +- 0.5% of 3.3V is good &lt;= 16.5mV</t>
  </si>
  <si>
    <t>Duty</t>
  </si>
  <si>
    <t>Results from  0.0019 to 0.002</t>
  </si>
  <si>
    <t>D x 12V</t>
  </si>
  <si>
    <t>Ideal_Vout (V)</t>
  </si>
  <si>
    <t>Vout_avg (V)</t>
  </si>
  <si>
    <t>Vout_pp (V)</t>
  </si>
  <si>
    <t>il1_pp (A)</t>
  </si>
  <si>
    <t>iin_avg (A)</t>
  </si>
  <si>
    <t>Pout</t>
  </si>
  <si>
    <t>Theoretical il_pp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</si>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</sst>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Cells</a:t>
            </a:r>
            <a:r>
              <a:rPr lang="en-US" baseline="0"/>
              <a:t> vs Width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'Verilog and Yosys'!$A$2:$A$7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</c:numCache>
            </c:numRef>
          </c:xVal>
          <c:yVal>
            <c:numRef>
              <c:f>'Verilog and Yosys'!$B$2:$B$7</c:f>
              <c:numCache>
                <c:formatCode>General</c:formatCode>
                <c:ptCount val="6"/>
                <c:pt idx="0">
                  <c:v>41</c:v>
                </c:pt>
                <c:pt idx="1">
                  <c:v>51</c:v>
                </c:pt>
                <c:pt idx="2">
                  <c:v>59</c:v>
                </c:pt>
                <c:pt idx="3">
                  <c:v>67</c:v>
                </c:pt>
                <c:pt idx="4">
                  <c:v>84</c:v>
                </c:pt>
                <c:pt idx="5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B-471E-99D7-9EAD73AB3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439696"/>
        <c:axId val="425103792"/>
      </c:scatterChart>
      <c:valAx>
        <c:axId val="514439696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Width (Bits)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03792"/>
        <c:crosses val="autoZero"/>
        <c:crossBetween val="midCat"/>
      </c:valAx>
      <c:valAx>
        <c:axId val="425103792"/>
        <c:scaling>
          <c:orientation val="minMax"/>
          <c:max val="12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39696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Finding the optimal width to minimize error and maximize switching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113830752"/>
        <c:axId val="2016088336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'Verilog and Yosys'!$A$1</c15:sqref>
                        </c15:formulaRef>
                      </c:ext>
                    </c:extLst>
                    <c:strCache>
                      <c:ptCount val="1"/>
                      <c:pt idx="0">
                        <c:v>Width (bits)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'Verilog and Yosys'!$A$2:$A$7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</c:v>
                      </c:pt>
                      <c:pt idx="1">
                        <c:v>8</c:v>
                      </c:pt>
                      <c:pt idx="2">
                        <c:v>9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515-418F-ABC6-049E9E6A7289}"/>
                  </c:ext>
                </c:extLst>
              </c15:ser>
            </c15:filteredAreaSeries>
          </c:ext>
        </c:extLst>
      </c:areaChart>
      <c:scatterChart>
        <c:scatterStyle val="lineMarker"/>
        <c:varyColors val="0"/>
        <c:ser>
          <c:idx val="1"/>
          <c:order val="1"/>
          <c:tx>
            <c:strRef>
              <c:f>'Verilog and Yosys'!$D$1</c:f>
              <c:strCache>
                <c:ptCount val="1"/>
                <c:pt idx="0">
                  <c:v>Worst-case Error (mV)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515-418F-ABC6-049E9E6A7289}"/>
              </c:ext>
            </c:extLst>
          </c:dPt>
          <c:xVal>
            <c:numRef>
              <c:f>'Verilog and Yosys'!$A$2:$A$7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</c:numCache>
            </c:numRef>
          </c:xVal>
          <c:yVal>
            <c:numRef>
              <c:f>'Verilog and Yosys'!$D$2:$D$7</c:f>
              <c:numCache>
                <c:formatCode>General</c:formatCode>
                <c:ptCount val="6"/>
                <c:pt idx="0">
                  <c:v>93.8</c:v>
                </c:pt>
                <c:pt idx="1">
                  <c:v>23.4</c:v>
                </c:pt>
                <c:pt idx="2">
                  <c:v>11.7</c:v>
                </c:pt>
                <c:pt idx="3">
                  <c:v>5.9</c:v>
                </c:pt>
                <c:pt idx="4">
                  <c:v>1.5</c:v>
                </c:pt>
                <c:pt idx="5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5-418F-ABC6-049E9E6A7289}"/>
            </c:ext>
          </c:extLst>
        </c:ser>
        <c:ser>
          <c:idx val="3"/>
          <c:order val="3"/>
          <c:tx>
            <c:v>Maximum Error Limit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9"/>
            <c:spPr>
              <a:noFill/>
              <a:ln w="15875" cap="rnd" cmpd="sng" algn="ctr">
                <a:solidFill>
                  <a:schemeClr val="tx1">
                    <a:lumMod val="75000"/>
                    <a:lumOff val="2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5</c:v>
              </c:pt>
            </c:numLit>
          </c:xVal>
          <c:yVal>
            <c:numLit>
              <c:formatCode>General</c:formatCode>
              <c:ptCount val="1"/>
              <c:pt idx="0">
                <c:v>16.5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515-418F-ABC6-049E9E6A7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830752"/>
        <c:axId val="2016088336"/>
      </c:scatterChart>
      <c:scatterChart>
        <c:scatterStyle val="lineMarker"/>
        <c:varyColors val="0"/>
        <c:ser>
          <c:idx val="2"/>
          <c:order val="2"/>
          <c:tx>
            <c:strRef>
              <c:f>'Verilog and Yosys'!$E$1</c:f>
              <c:strCache>
                <c:ptCount val="1"/>
                <c:pt idx="0">
                  <c:v>Switching frequency (kHz)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515-418F-ABC6-049E9E6A7289}"/>
              </c:ext>
            </c:extLst>
          </c:dPt>
          <c:xVal>
            <c:numRef>
              <c:f>'Verilog and Yosys'!$A$2:$A$7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</c:numCache>
            </c:numRef>
          </c:xVal>
          <c:yVal>
            <c:numRef>
              <c:f>'Verilog and Yosys'!$E$2:$E$7</c:f>
              <c:numCache>
                <c:formatCode>General</c:formatCode>
                <c:ptCount val="6"/>
                <c:pt idx="0">
                  <c:v>1563</c:v>
                </c:pt>
                <c:pt idx="1">
                  <c:v>391</c:v>
                </c:pt>
                <c:pt idx="2">
                  <c:v>195</c:v>
                </c:pt>
                <c:pt idx="3">
                  <c:v>97.7</c:v>
                </c:pt>
                <c:pt idx="4">
                  <c:v>24.4</c:v>
                </c:pt>
                <c:pt idx="5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15-418F-ABC6-049E9E6A7289}"/>
            </c:ext>
          </c:extLst>
        </c:ser>
        <c:ser>
          <c:idx val="4"/>
          <c:order val="4"/>
          <c:tx>
            <c:v>Minimum Frequency Limit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errBars>
            <c:errDir val="x"/>
            <c:errBarType val="minus"/>
            <c:errValType val="fixedVal"/>
            <c:noEndCap val="0"/>
            <c:val val="9"/>
            <c:spPr>
              <a:noFill/>
              <a:ln w="15875" cap="rnd" cmpd="sng" algn="ctr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14</c:v>
              </c:pt>
            </c:numLit>
          </c:xVal>
          <c:yVal>
            <c:numLit>
              <c:formatCode>General</c:formatCode>
              <c:ptCount val="1"/>
              <c:pt idx="0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515-418F-ABC6-049E9E6A7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082096"/>
        <c:axId val="2016083536"/>
      </c:scatterChart>
      <c:catAx>
        <c:axId val="211383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Width (Bits)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88336"/>
        <c:crossesAt val="0.1"/>
        <c:auto val="1"/>
        <c:lblAlgn val="ctr"/>
        <c:lblOffset val="100"/>
        <c:noMultiLvlLbl val="0"/>
      </c:catAx>
      <c:valAx>
        <c:axId val="20160883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Worst-case Error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830752"/>
        <c:crosses val="autoZero"/>
        <c:crossBetween val="between"/>
      </c:valAx>
      <c:valAx>
        <c:axId val="2016083536"/>
        <c:scaling>
          <c:logBase val="10"/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Switching Frequency (kHz)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82096"/>
        <c:crosses val="max"/>
        <c:crossBetween val="midCat"/>
      </c:valAx>
      <c:valAx>
        <c:axId val="201608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608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Ideal vs Measured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LTspice!$B$1</c:f>
              <c:strCache>
                <c:ptCount val="1"/>
                <c:pt idx="0">
                  <c:v>Ideal_Vout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LTspice!$A$2:$A$5</c:f>
              <c:numCache>
                <c:formatCode>General</c:formatCode>
                <c:ptCount val="4"/>
                <c:pt idx="0">
                  <c:v>0.25</c:v>
                </c:pt>
                <c:pt idx="1">
                  <c:v>0.27500000000000002</c:v>
                </c:pt>
                <c:pt idx="2">
                  <c:v>0.5</c:v>
                </c:pt>
                <c:pt idx="3">
                  <c:v>0.75</c:v>
                </c:pt>
              </c:numCache>
            </c:numRef>
          </c:xVal>
          <c:yVal>
            <c:numRef>
              <c:f>LTspice!$B$2:$B$5</c:f>
              <c:numCache>
                <c:formatCode>General</c:formatCode>
                <c:ptCount val="4"/>
                <c:pt idx="0">
                  <c:v>3</c:v>
                </c:pt>
                <c:pt idx="1">
                  <c:v>3.3</c:v>
                </c:pt>
                <c:pt idx="2">
                  <c:v>6</c:v>
                </c:pt>
                <c:pt idx="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2-42D7-BA43-F80078F948CF}"/>
            </c:ext>
          </c:extLst>
        </c:ser>
        <c:ser>
          <c:idx val="1"/>
          <c:order val="1"/>
          <c:tx>
            <c:strRef>
              <c:f>LTspice!$C$1</c:f>
              <c:strCache>
                <c:ptCount val="1"/>
                <c:pt idx="0">
                  <c:v>Vout_avg (V)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LTspice!$A$2:$A$5</c:f>
              <c:numCache>
                <c:formatCode>General</c:formatCode>
                <c:ptCount val="4"/>
                <c:pt idx="0">
                  <c:v>0.25</c:v>
                </c:pt>
                <c:pt idx="1">
                  <c:v>0.27500000000000002</c:v>
                </c:pt>
                <c:pt idx="2">
                  <c:v>0.5</c:v>
                </c:pt>
                <c:pt idx="3">
                  <c:v>0.75</c:v>
                </c:pt>
              </c:numCache>
            </c:numRef>
          </c:xVal>
          <c:yVal>
            <c:numRef>
              <c:f>LTspice!$C$2:$C$5</c:f>
              <c:numCache>
                <c:formatCode>0.0000</c:formatCode>
                <c:ptCount val="4"/>
                <c:pt idx="0">
                  <c:v>2.7073999999999998</c:v>
                </c:pt>
                <c:pt idx="1">
                  <c:v>3.0084</c:v>
                </c:pt>
                <c:pt idx="2">
                  <c:v>5.7149000000000001</c:v>
                </c:pt>
                <c:pt idx="3">
                  <c:v>8.7279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62-42D7-BA43-F80078F94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872240"/>
        <c:axId val="1429315888"/>
      </c:scatterChart>
      <c:valAx>
        <c:axId val="1528872240"/>
        <c:scaling>
          <c:orientation val="minMax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15888"/>
        <c:crosses val="autoZero"/>
        <c:crossBetween val="midCat"/>
      </c:valAx>
      <c:valAx>
        <c:axId val="14293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7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Theoretical vs Measured il_pp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Measured il_pp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chemeClr val="bg2">
                    <a:lumMod val="10000"/>
                    <a:alpha val="97000"/>
                  </a:schemeClr>
                </a:solidFill>
              </a:ln>
              <a:effectLst/>
            </c:spPr>
          </c:marker>
          <c:xVal>
            <c:numRef>
              <c:f>LTspice!$A$2:$A$5</c:f>
              <c:numCache>
                <c:formatCode>General</c:formatCode>
                <c:ptCount val="4"/>
                <c:pt idx="0">
                  <c:v>0.25</c:v>
                </c:pt>
                <c:pt idx="1">
                  <c:v>0.27500000000000002</c:v>
                </c:pt>
                <c:pt idx="2">
                  <c:v>0.5</c:v>
                </c:pt>
                <c:pt idx="3">
                  <c:v>0.75</c:v>
                </c:pt>
              </c:numCache>
            </c:numRef>
          </c:xVal>
          <c:yVal>
            <c:numRef>
              <c:f>LTspice!$F$2:$F$5</c:f>
              <c:numCache>
                <c:formatCode>0.0000</c:formatCode>
                <c:ptCount val="4"/>
                <c:pt idx="0">
                  <c:v>0.25359999999999999</c:v>
                </c:pt>
                <c:pt idx="1">
                  <c:v>0.26929999999999998</c:v>
                </c:pt>
                <c:pt idx="2">
                  <c:v>0.33639999999999998</c:v>
                </c:pt>
                <c:pt idx="3">
                  <c:v>0.25090000000000001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EC-46A5-A210-D6FA8B5F6C28}"/>
            </c:ext>
          </c:extLst>
        </c:ser>
        <c:ser>
          <c:idx val="1"/>
          <c:order val="1"/>
          <c:tx>
            <c:v>Theoretical il_pp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LTspice!$A$2:$A$5</c:f>
              <c:numCache>
                <c:formatCode>General</c:formatCode>
                <c:ptCount val="4"/>
                <c:pt idx="0">
                  <c:v>0.25</c:v>
                </c:pt>
                <c:pt idx="1">
                  <c:v>0.27500000000000002</c:v>
                </c:pt>
                <c:pt idx="2">
                  <c:v>0.5</c:v>
                </c:pt>
                <c:pt idx="3">
                  <c:v>0.75</c:v>
                </c:pt>
              </c:numCache>
            </c:numRef>
          </c:xVal>
          <c:yVal>
            <c:numRef>
              <c:f>LTspice!$E$2:$E$5</c:f>
              <c:numCache>
                <c:formatCode>0.0000</c:formatCode>
                <c:ptCount val="4"/>
                <c:pt idx="0">
                  <c:v>0.24815886611970514</c:v>
                </c:pt>
                <c:pt idx="1">
                  <c:v>0.26365919537506516</c:v>
                </c:pt>
                <c:pt idx="2">
                  <c:v>0.32924991326068476</c:v>
                </c:pt>
                <c:pt idx="3">
                  <c:v>0.24668007653757351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CEC-46A5-A210-D6FA8B5F6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931168"/>
        <c:axId val="1429337488"/>
      </c:scatterChart>
      <c:valAx>
        <c:axId val="1528931168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37488"/>
        <c:crosses val="autoZero"/>
        <c:crossBetween val="midCat"/>
      </c:valAx>
      <c:valAx>
        <c:axId val="1429337488"/>
        <c:scaling>
          <c:orientation val="minMax"/>
          <c:min val="0.22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il_pp(A)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3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LTspice!$I$1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LTspice!$A$2:$A$5</c:f>
              <c:numCache>
                <c:formatCode>General</c:formatCode>
                <c:ptCount val="4"/>
                <c:pt idx="0">
                  <c:v>0.25</c:v>
                </c:pt>
                <c:pt idx="1">
                  <c:v>0.27500000000000002</c:v>
                </c:pt>
                <c:pt idx="2">
                  <c:v>0.5</c:v>
                </c:pt>
                <c:pt idx="3">
                  <c:v>0.75</c:v>
                </c:pt>
              </c:numCache>
            </c:numRef>
          </c:xVal>
          <c:yVal>
            <c:numRef>
              <c:f>LTspice!$I$2:$I$5</c:f>
              <c:numCache>
                <c:formatCode>0.0000</c:formatCode>
                <c:ptCount val="4"/>
                <c:pt idx="0">
                  <c:v>0.88994391025641018</c:v>
                </c:pt>
                <c:pt idx="1">
                  <c:v>0.89592316738533906</c:v>
                </c:pt>
                <c:pt idx="2">
                  <c:v>0.93467626171048668</c:v>
                </c:pt>
                <c:pt idx="3">
                  <c:v>0.95881307215604172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85-4B2F-82AC-FD2C3FC48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524368"/>
        <c:axId val="1059912592"/>
      </c:scatterChart>
      <c:valAx>
        <c:axId val="2103524368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912592"/>
        <c:crosses val="autoZero"/>
        <c:crossBetween val="midCat"/>
      </c:valAx>
      <c:valAx>
        <c:axId val="105991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52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138381</xdr:colOff>
      <xdr:row>13</xdr:row>
      <xdr:rowOff>49964</xdr:rowOff>
    </xdr:from>
    <xdr:to>
      <xdr:col>5</xdr:col>
      <xdr:colOff>889000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E902C8-ED06-BACD-E459-90D5A1F0C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83840</xdr:colOff>
      <xdr:row>0</xdr:row>
      <xdr:rowOff>56099</xdr:rowOff>
    </xdr:from>
    <xdr:to>
      <xdr:col>21</xdr:col>
      <xdr:colOff>139351</xdr:colOff>
      <xdr:row>25</xdr:row>
      <xdr:rowOff>124385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AEBC01-82EE-6C4C-C233-0C9DDA4ED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83318</xdr:colOff>
      <xdr:row>0</xdr:row>
      <xdr:rowOff>115068</xdr:rowOff>
    </xdr:from>
    <xdr:to>
      <xdr:col>18</xdr:col>
      <xdr:colOff>596900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FD008-16CB-5586-91A1-58BBFB773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53209</xdr:colOff>
      <xdr:row>8</xdr:row>
      <xdr:rowOff>81223</xdr:rowOff>
    </xdr:from>
    <xdr:to>
      <xdr:col>8</xdr:col>
      <xdr:colOff>533400</xdr:colOff>
      <xdr:row>28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B22DA7-8880-4FA0-7E06-572A2796F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91409</xdr:colOff>
      <xdr:row>18</xdr:row>
      <xdr:rowOff>87352</xdr:rowOff>
    </xdr:from>
    <xdr:to>
      <xdr:col>18</xdr:col>
      <xdr:colOff>590550</xdr:colOff>
      <xdr:row>36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ED972E-63E5-B7BF-F3E0-69C82A54F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4723-9896-44AE-9740-0312FABF8C6B}">
  <dimension ref="A1:F13"/>
  <sheetViews>
    <sheetView tabSelected="1" zoomScaleNormal="100" workbookViewId="0">
      <selection activeCell="G33" sqref="G33"/>
    </sheetView>
  </sheetViews>
  <sheetFormatPr defaultRowHeight="14.5" x14ac:dyDescent="0.35"/>
  <cols>
    <col min="1" max="1" width="12.90625" bestFit="1" customWidth="1"/>
    <col min="2" max="2" width="12.36328125" bestFit="1" customWidth="1"/>
    <col min="3" max="3" width="16.1796875" customWidth="1"/>
    <col min="4" max="4" width="16.08984375" customWidth="1"/>
    <col min="5" max="5" width="20.36328125" customWidth="1"/>
    <col min="6" max="6" width="14.7265625" bestFit="1" customWidth="1"/>
  </cols>
  <sheetData>
    <row r="1" spans="1:6" ht="33" customHeight="1" x14ac:dyDescent="0.45">
      <c r="A1" s="2" t="s">
        <v>4</v>
      </c>
      <c r="B1" s="2" t="s">
        <v>0</v>
      </c>
      <c r="C1" s="2" t="s">
        <v>5</v>
      </c>
      <c r="D1" s="2" t="s">
        <v>16</v>
      </c>
      <c r="E1" s="2" t="s">
        <v>6</v>
      </c>
      <c r="F1" s="2" t="s">
        <v>1</v>
      </c>
    </row>
    <row r="2" spans="1:6" x14ac:dyDescent="0.35">
      <c r="A2" s="3">
        <v>6</v>
      </c>
      <c r="B2" s="3">
        <v>41</v>
      </c>
      <c r="C2" s="3">
        <v>187.5</v>
      </c>
      <c r="D2" s="4">
        <v>93.8</v>
      </c>
      <c r="E2" s="5">
        <v>1563</v>
      </c>
      <c r="F2" s="4" t="s">
        <v>2</v>
      </c>
    </row>
    <row r="3" spans="1:6" x14ac:dyDescent="0.35">
      <c r="A3" s="3">
        <v>8</v>
      </c>
      <c r="B3" s="3">
        <v>51</v>
      </c>
      <c r="C3" s="3">
        <v>46.9</v>
      </c>
      <c r="D3" s="4">
        <v>23.4</v>
      </c>
      <c r="E3" s="5">
        <v>391</v>
      </c>
      <c r="F3" s="4" t="s">
        <v>2</v>
      </c>
    </row>
    <row r="4" spans="1:6" x14ac:dyDescent="0.35">
      <c r="A4" s="3">
        <v>9</v>
      </c>
      <c r="B4" s="3">
        <v>59</v>
      </c>
      <c r="C4" s="3">
        <v>23.4</v>
      </c>
      <c r="D4" s="5">
        <v>11.7</v>
      </c>
      <c r="E4" s="5">
        <v>195</v>
      </c>
      <c r="F4" s="5" t="s">
        <v>3</v>
      </c>
    </row>
    <row r="5" spans="1:6" x14ac:dyDescent="0.35">
      <c r="A5" s="3">
        <v>10</v>
      </c>
      <c r="B5" s="3">
        <v>67</v>
      </c>
      <c r="C5" s="3">
        <v>11.7</v>
      </c>
      <c r="D5" s="5">
        <v>5.9</v>
      </c>
      <c r="E5" s="4">
        <v>97.7</v>
      </c>
      <c r="F5" s="4" t="s">
        <v>2</v>
      </c>
    </row>
    <row r="6" spans="1:6" x14ac:dyDescent="0.35">
      <c r="A6" s="3">
        <v>12</v>
      </c>
      <c r="B6" s="3">
        <v>84</v>
      </c>
      <c r="C6" s="3">
        <v>2.9</v>
      </c>
      <c r="D6" s="5">
        <v>1.5</v>
      </c>
      <c r="E6" s="4">
        <v>24.4</v>
      </c>
      <c r="F6" s="4" t="s">
        <v>2</v>
      </c>
    </row>
    <row r="7" spans="1:6" x14ac:dyDescent="0.35">
      <c r="A7" s="3">
        <v>14</v>
      </c>
      <c r="B7" s="3">
        <v>99</v>
      </c>
      <c r="C7" s="3">
        <v>0.7</v>
      </c>
      <c r="D7" s="5">
        <v>0.4</v>
      </c>
      <c r="E7" s="4">
        <v>6.1</v>
      </c>
      <c r="F7" s="4" t="s">
        <v>2</v>
      </c>
    </row>
    <row r="8" spans="1:6" x14ac:dyDescent="0.35">
      <c r="A8" s="1"/>
      <c r="B8" s="1" t="s">
        <v>9</v>
      </c>
      <c r="C8" s="1" t="s">
        <v>8</v>
      </c>
      <c r="D8" s="1" t="s">
        <v>7</v>
      </c>
      <c r="E8" s="1" t="s">
        <v>11</v>
      </c>
      <c r="F8" s="1"/>
    </row>
    <row r="9" spans="1:6" x14ac:dyDescent="0.35">
      <c r="A9" s="1"/>
      <c r="B9" s="1"/>
      <c r="C9" s="1" t="s">
        <v>10</v>
      </c>
      <c r="D9" s="1"/>
      <c r="E9" s="1" t="s">
        <v>12</v>
      </c>
      <c r="F9" s="1"/>
    </row>
    <row r="10" spans="1:6" ht="28" customHeight="1" x14ac:dyDescent="0.35">
      <c r="A10" s="1"/>
      <c r="B10" s="1"/>
      <c r="C10" s="6" t="s">
        <v>14</v>
      </c>
      <c r="D10" s="1"/>
      <c r="E10" s="12" t="s">
        <v>13</v>
      </c>
      <c r="F10" s="1"/>
    </row>
    <row r="11" spans="1:6" ht="16" customHeight="1" x14ac:dyDescent="0.35">
      <c r="E11" s="12"/>
    </row>
    <row r="12" spans="1:6" x14ac:dyDescent="0.35">
      <c r="A12" s="11" t="s">
        <v>17</v>
      </c>
      <c r="B12" s="11"/>
      <c r="C12" s="11"/>
      <c r="D12" s="11"/>
    </row>
    <row r="13" spans="1:6" x14ac:dyDescent="0.35">
      <c r="A13" s="11" t="s">
        <v>15</v>
      </c>
      <c r="B13" s="11"/>
      <c r="C13" s="11"/>
      <c r="D13" s="11"/>
      <c r="E13" s="11"/>
    </row>
  </sheetData>
  <mergeCells count="3">
    <mergeCell ref="A13:E13"/>
    <mergeCell ref="A12:D12"/>
    <mergeCell ref="E10:E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94F0-7B3B-4400-B57F-55239077B05A}">
  <dimension ref="A1:I8"/>
  <sheetViews>
    <sheetView zoomScaleNormal="100" workbookViewId="0">
      <selection activeCell="U19" sqref="U19"/>
    </sheetView>
  </sheetViews>
  <sheetFormatPr defaultRowHeight="14.5" x14ac:dyDescent="0.35"/>
  <cols>
    <col min="2" max="2" width="12" bestFit="1" customWidth="1"/>
    <col min="3" max="3" width="10.81640625" style="10" bestFit="1" customWidth="1"/>
    <col min="4" max="4" width="10.08984375" style="10" bestFit="1" customWidth="1"/>
    <col min="5" max="5" width="14.81640625" bestFit="1" customWidth="1"/>
    <col min="6" max="6" width="8.26953125" style="10" bestFit="1" customWidth="1"/>
    <col min="7" max="7" width="9" bestFit="1" customWidth="1"/>
  </cols>
  <sheetData>
    <row r="1" spans="1:9" x14ac:dyDescent="0.35">
      <c r="A1" s="7" t="s">
        <v>18</v>
      </c>
      <c r="B1" s="7" t="s">
        <v>21</v>
      </c>
      <c r="C1" s="8" t="s">
        <v>22</v>
      </c>
      <c r="D1" s="8" t="s">
        <v>23</v>
      </c>
      <c r="E1" s="8" t="s">
        <v>27</v>
      </c>
      <c r="F1" s="8" t="s">
        <v>24</v>
      </c>
      <c r="G1" s="8" t="s">
        <v>25</v>
      </c>
      <c r="H1" s="8" t="s">
        <v>26</v>
      </c>
      <c r="I1" s="8" t="s">
        <v>28</v>
      </c>
    </row>
    <row r="2" spans="1:9" x14ac:dyDescent="0.35">
      <c r="A2" s="3">
        <v>0.25</v>
      </c>
      <c r="B2" s="3">
        <v>3</v>
      </c>
      <c r="C2" s="9">
        <v>2.7073999999999998</v>
      </c>
      <c r="D2" s="9">
        <v>1.6799999999999999E-2</v>
      </c>
      <c r="E2" s="9">
        <f>((C2+0.33)*(1-A2))/(9.179805)</f>
        <v>0.24815886611970514</v>
      </c>
      <c r="F2" s="9">
        <v>0.25359999999999999</v>
      </c>
      <c r="G2" s="9">
        <v>-0.20799999999999999</v>
      </c>
      <c r="H2" s="9">
        <v>2.2212999999999998</v>
      </c>
      <c r="I2" s="9">
        <f>H2/(12*ABS(G2))</f>
        <v>0.88994391025641018</v>
      </c>
    </row>
    <row r="3" spans="1:9" x14ac:dyDescent="0.35">
      <c r="A3" s="3">
        <v>0.27500000000000002</v>
      </c>
      <c r="B3" s="3">
        <v>3.3</v>
      </c>
      <c r="C3" s="9">
        <v>3.0084</v>
      </c>
      <c r="D3" s="9">
        <v>1.7670000000000002E-2</v>
      </c>
      <c r="E3" s="9">
        <f>((C3+0.33)*(1-A3))/(9.179805)</f>
        <v>0.26365919537506516</v>
      </c>
      <c r="F3" s="9">
        <v>0.26929999999999998</v>
      </c>
      <c r="G3" s="9">
        <v>-0.25509999999999999</v>
      </c>
      <c r="H3" s="9">
        <v>2.7425999999999999</v>
      </c>
      <c r="I3" s="9">
        <f t="shared" ref="I3:I5" si="0">H3/(12*ABS(G3))</f>
        <v>0.89592316738533906</v>
      </c>
    </row>
    <row r="4" spans="1:9" x14ac:dyDescent="0.35">
      <c r="A4" s="3">
        <v>0.5</v>
      </c>
      <c r="B4" s="3">
        <v>6</v>
      </c>
      <c r="C4" s="9">
        <v>5.7149000000000001</v>
      </c>
      <c r="D4" s="9">
        <v>2.1999999999999999E-2</v>
      </c>
      <c r="E4" s="9">
        <f>((C4+0.33)*(1-A4))/(9.179805)</f>
        <v>0.32924991326068476</v>
      </c>
      <c r="F4" s="9">
        <v>0.33639999999999998</v>
      </c>
      <c r="G4" s="9">
        <v>-0.88239999999999996</v>
      </c>
      <c r="H4" s="9">
        <v>9.8971</v>
      </c>
      <c r="I4" s="9">
        <f t="shared" si="0"/>
        <v>0.93467626171048668</v>
      </c>
    </row>
    <row r="5" spans="1:9" x14ac:dyDescent="0.35">
      <c r="A5" s="3">
        <v>0.75</v>
      </c>
      <c r="B5" s="3">
        <v>9</v>
      </c>
      <c r="C5" s="9">
        <v>8.7279</v>
      </c>
      <c r="D5" s="9">
        <v>1.67E-2</v>
      </c>
      <c r="E5" s="9">
        <f>((C5+0.33)*(1-A5))/(9.179805)</f>
        <v>0.24668007653757351</v>
      </c>
      <c r="F5" s="9">
        <v>0.25090000000000001</v>
      </c>
      <c r="G5" s="9">
        <v>-2.0063</v>
      </c>
      <c r="H5" s="9">
        <v>23.084</v>
      </c>
      <c r="I5" s="9">
        <f t="shared" si="0"/>
        <v>0.95881307215604172</v>
      </c>
    </row>
    <row r="6" spans="1:9" x14ac:dyDescent="0.35">
      <c r="B6" t="s">
        <v>20</v>
      </c>
    </row>
    <row r="8" spans="1:9" x14ac:dyDescent="0.35">
      <c r="A8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Verilog and Yosys</vt:lpstr>
      <vt:lpstr>LTspice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Avyay Rao</dc:creator>
  <cp:lastModifiedBy>Avyay Rao</cp:lastModifiedBy>
  <dcterms:created xsi:type="dcterms:W3CDTF">2026-09-21T06:51:28Z</dcterms:created>
  <dcterms:modified xsi:type="dcterms:W3CDTF">2026-10-10T18:16:45Z</dcterms:modified>
</cp:coreProperties>
</file>